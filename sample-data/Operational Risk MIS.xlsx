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cuments\AI-Operational-Risk-Copilot\sample-data\"/>
    </mc:Choice>
  </mc:AlternateContent>
  <xr:revisionPtr revIDLastSave="0" documentId="13_ncr:1_{670BEF5F-F8DD-4326-B1F8-5862E2C791E1}" xr6:coauthVersionLast="47" xr6:coauthVersionMax="47" xr10:uidLastSave="{00000000-0000-0000-0000-000000000000}"/>
  <bookViews>
    <workbookView xWindow="-108" yWindow="-108" windowWidth="23256" windowHeight="12576" activeTab="1" xr2:uid="{863B7060-F318-4886-8F2A-1F047A04826C}"/>
  </bookViews>
  <sheets>
    <sheet name="Basel Loss Summary" sheetId="1" r:id="rId1"/>
    <sheet name="Key Risk Indica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B9" i="1"/>
  <c r="C9" i="1"/>
  <c r="D9" i="1"/>
  <c r="E9" i="1"/>
</calcChain>
</file>

<file path=xl/sharedStrings.xml><?xml version="1.0" encoding="utf-8"?>
<sst xmlns="http://schemas.openxmlformats.org/spreadsheetml/2006/main" count="70" uniqueCount="64">
  <si>
    <t>Basel Event Category</t>
  </si>
  <si>
    <t>Incident Count</t>
  </si>
  <si>
    <t>Gross Loss ($)</t>
  </si>
  <si>
    <t>Recoveries ($)</t>
  </si>
  <si>
    <t>Net Loss ($)</t>
  </si>
  <si>
    <t>Internal Fraud</t>
  </si>
  <si>
    <t>External Fraud</t>
  </si>
  <si>
    <t>Employment Practices &amp; Workplace Safety</t>
  </si>
  <si>
    <t>Clients, Products &amp; Business Practices</t>
  </si>
  <si>
    <t>Damage to Physical Assets</t>
  </si>
  <si>
    <t>Business Disruption &amp; System Failures</t>
  </si>
  <si>
    <t>Execution, Delivery &amp; Process Management</t>
  </si>
  <si>
    <t>Total</t>
  </si>
  <si>
    <t>KRI ID</t>
  </si>
  <si>
    <t>Metric Name</t>
  </si>
  <si>
    <t>Business Unit</t>
  </si>
  <si>
    <t>Green (Safe)</t>
  </si>
  <si>
    <t>Amber (Warning)</t>
  </si>
  <si>
    <t>Red (Breach)</t>
  </si>
  <si>
    <t>Current Value</t>
  </si>
  <si>
    <t>Status</t>
  </si>
  <si>
    <t>Trend</t>
  </si>
  <si>
    <t>KRI-IT-01</t>
  </si>
  <si>
    <t>Core Banking Availability</t>
  </si>
  <si>
    <t>IT Ops</t>
  </si>
  <si>
    <t>&gt; 99.9%</t>
  </si>
  <si>
    <t>99.5% - 99.9%</t>
  </si>
  <si>
    <t>&lt; 99.5%</t>
  </si>
  <si>
    <t>Red</t>
  </si>
  <si>
    <t>Degrading</t>
  </si>
  <si>
    <t>KRI-OPS-02</t>
  </si>
  <si>
    <t>Un-reconciled Payments (&gt;24h)</t>
  </si>
  <si>
    <t>Payment Ops</t>
  </si>
  <si>
    <t>&lt; $100k</t>
  </si>
  <si>
    <t>$100k - $500k</t>
  </si>
  <si>
    <t>&gt; $500k</t>
  </si>
  <si>
    <t>$620k</t>
  </si>
  <si>
    <t>KRI-HR-01</t>
  </si>
  <si>
    <t>Staff Turnover Rate (Key Roles)</t>
  </si>
  <si>
    <t>Human Capital</t>
  </si>
  <si>
    <t>&lt; 5%</t>
  </si>
  <si>
    <t>5% - 10%</t>
  </si>
  <si>
    <t>&gt; 10%</t>
  </si>
  <si>
    <t>Amber</t>
  </si>
  <si>
    <t>Stable</t>
  </si>
  <si>
    <t>KRI-CY-03</t>
  </si>
  <si>
    <t>Phishing Test Failure Rate</t>
  </si>
  <si>
    <t>Cyber Sec</t>
  </si>
  <si>
    <t>&lt; 3%</t>
  </si>
  <si>
    <t>3% - 7%</t>
  </si>
  <si>
    <t>&gt; 7%</t>
  </si>
  <si>
    <t>Green</t>
  </si>
  <si>
    <t>Improving</t>
  </si>
  <si>
    <t>KRI-CMP-04</t>
  </si>
  <si>
    <t>Overdue High Risk Audit Issues</t>
  </si>
  <si>
    <t>Compliance</t>
  </si>
  <si>
    <t>&gt; 3</t>
  </si>
  <si>
    <t>KRI-FL-01</t>
  </si>
  <si>
    <t>ATM Downtime Hours</t>
  </si>
  <si>
    <t>Retail Banking</t>
  </si>
  <si>
    <t>&lt; 15 hrs</t>
  </si>
  <si>
    <t>15 - 30 hrs</t>
  </si>
  <si>
    <t>&gt; 30 hrs</t>
  </si>
  <si>
    <t>42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</si>
</sst>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52AC-3BE1-41AA-8015-7FCD58751624}">
  <dimension ref="A1:E9"/>
  <sheetViews>
    <sheetView workbookViewId="0">
      <selection activeCell="C22" sqref="C22"/>
    </sheetView>
  </sheetViews>
  <sheetFormatPr defaultRowHeight="14.4" x14ac:dyDescent="0.3"/>
  <cols>
    <col min="1" max="1" width="36.77734375" bestFit="1" customWidth="1"/>
    <col min="2" max="2" width="12.88671875" bestFit="1" customWidth="1"/>
    <col min="3" max="3" width="12.109375" bestFit="1" customWidth="1"/>
    <col min="4" max="4" width="12.44140625" bestFit="1" customWidth="1"/>
    <col min="5" max="5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8</v>
      </c>
      <c r="C2">
        <v>450000</v>
      </c>
      <c r="D2">
        <v>120000</v>
      </c>
      <c r="E2">
        <f>C2-D2</f>
        <v>330000</v>
      </c>
    </row>
    <row r="3" spans="1:5" x14ac:dyDescent="0.3">
      <c r="A3" t="s">
        <v>6</v>
      </c>
      <c r="B3">
        <v>85</v>
      </c>
      <c r="C3">
        <v>620000</v>
      </c>
      <c r="D3">
        <v>45000</v>
      </c>
      <c r="E3">
        <f>C3-D3</f>
        <v>575000</v>
      </c>
    </row>
    <row r="4" spans="1:5" x14ac:dyDescent="0.3">
      <c r="A4" t="s">
        <v>7</v>
      </c>
      <c r="B4">
        <v>4</v>
      </c>
      <c r="C4">
        <v>85000</v>
      </c>
      <c r="D4">
        <v>0</v>
      </c>
      <c r="E4">
        <f>C4-D4</f>
        <v>85000</v>
      </c>
    </row>
    <row r="5" spans="1:5" x14ac:dyDescent="0.3">
      <c r="A5" t="s">
        <v>8</v>
      </c>
      <c r="B5">
        <v>12</v>
      </c>
      <c r="C5">
        <v>310000</v>
      </c>
      <c r="D5">
        <v>50000</v>
      </c>
      <c r="E5">
        <f>C5-D5</f>
        <v>260000</v>
      </c>
    </row>
    <row r="6" spans="1:5" x14ac:dyDescent="0.3">
      <c r="A6" t="s">
        <v>9</v>
      </c>
      <c r="B6">
        <v>2</v>
      </c>
      <c r="C6">
        <v>45000</v>
      </c>
      <c r="D6">
        <v>40000</v>
      </c>
      <c r="E6">
        <f>C6-D6</f>
        <v>5000</v>
      </c>
    </row>
    <row r="7" spans="1:5" x14ac:dyDescent="0.3">
      <c r="A7" t="s">
        <v>10</v>
      </c>
      <c r="B7">
        <v>15</v>
      </c>
      <c r="C7">
        <v>290000</v>
      </c>
      <c r="D7">
        <v>0</v>
      </c>
      <c r="E7">
        <f>C7-D7</f>
        <v>290000</v>
      </c>
    </row>
    <row r="8" spans="1:5" x14ac:dyDescent="0.3">
      <c r="A8" t="s">
        <v>11</v>
      </c>
      <c r="B8">
        <v>38</v>
      </c>
      <c r="C8">
        <v>180000</v>
      </c>
      <c r="D8">
        <v>15000</v>
      </c>
      <c r="E8">
        <f>C8-D8</f>
        <v>165000</v>
      </c>
    </row>
    <row r="9" spans="1:5" x14ac:dyDescent="0.3">
      <c r="A9" t="s">
        <v>12</v>
      </c>
      <c r="B9">
        <f>SUM(B2:B8)</f>
        <v>164</v>
      </c>
      <c r="C9">
        <f>SUM(C2:C8)</f>
        <v>1980000</v>
      </c>
      <c r="D9">
        <f>SUM(D2:D8)</f>
        <v>270000</v>
      </c>
      <c r="E9">
        <f>SUM(E2:E8)</f>
        <v>1710000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21CF-922E-40CE-A6C3-8707306EADE5}">
  <dimension ref="A1:I7"/>
  <sheetViews>
    <sheetView tabSelected="1" workbookViewId="0">
      <selection activeCell="K7" sqref="K7"/>
    </sheetView>
  </sheetViews>
  <sheetFormatPr defaultRowHeight="14.4" x14ac:dyDescent="0.3"/>
  <cols>
    <col min="1" max="1" width="10.77734375" bestFit="1" customWidth="1"/>
    <col min="2" max="2" width="26.77734375" bestFit="1" customWidth="1"/>
    <col min="3" max="3" width="12.88671875" bestFit="1" customWidth="1"/>
    <col min="4" max="4" width="11" bestFit="1" customWidth="1"/>
    <col min="5" max="5" width="14.77734375" bestFit="1" customWidth="1"/>
    <col min="6" max="6" width="11.33203125" bestFit="1" customWidth="1"/>
    <col min="7" max="7" width="12.109375" bestFit="1" customWidth="1"/>
    <col min="8" max="8" width="6.33203125" bestFit="1" customWidth="1"/>
    <col min="9" max="9" width="9.109375" bestFit="1" customWidth="1"/>
  </cols>
  <sheetData>
    <row r="1" spans="1:9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1">
        <v>0.99199999999999999</v>
      </c>
      <c r="H2" t="s">
        <v>28</v>
      </c>
      <c r="I2" t="s">
        <v>29</v>
      </c>
    </row>
    <row r="3" spans="1:9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28</v>
      </c>
      <c r="I3" t="s">
        <v>29</v>
      </c>
    </row>
    <row r="4" spans="1:9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s="1">
        <v>8.2000000000000003E-2</v>
      </c>
      <c r="H4" t="s">
        <v>43</v>
      </c>
      <c r="I4" t="s">
        <v>44</v>
      </c>
    </row>
    <row r="5" spans="1:9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s="1">
        <v>2.1000000000000001E-2</v>
      </c>
      <c r="H5" t="s">
        <v>51</v>
      </c>
      <c r="I5" t="s">
        <v>52</v>
      </c>
    </row>
    <row r="6" spans="1:9" x14ac:dyDescent="0.3">
      <c r="A6" t="s">
        <v>53</v>
      </c>
      <c r="B6" t="s">
        <v>54</v>
      </c>
      <c r="C6" t="s">
        <v>55</v>
      </c>
      <c r="D6">
        <v>0</v>
      </c>
      <c r="E6" s="2">
        <v>46025</v>
      </c>
      <c r="F6" t="s">
        <v>56</v>
      </c>
      <c r="G6">
        <v>2</v>
      </c>
      <c r="H6" t="s">
        <v>43</v>
      </c>
      <c r="I6" t="s">
        <v>52</v>
      </c>
    </row>
    <row r="7" spans="1:9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28</v>
      </c>
      <c r="I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 Loss Summary</vt:lpstr>
      <vt:lpstr>Key Risk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Rayyan Tayyab</dc:creator>
  <cp:lastModifiedBy>Rayyan Tayyab</cp:lastModifiedBy>
  <dcterms:created xsi:type="dcterms:W3CDTF">2026-08-05T11:51:39Z</dcterms:created>
  <dcterms:modified xsi:type="dcterms:W3CDTF">2026-08-05T11:54:20Z</dcterms:modified>
</cp:coreProperties>
</file>